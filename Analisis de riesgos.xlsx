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aelm\OneDrive\Documentos\IT-Governance\"/>
    </mc:Choice>
  </mc:AlternateContent>
  <xr:revisionPtr revIDLastSave="0" documentId="13_ncr:1_{91A41075-9BF1-4E36-9EC0-E9CF2498F2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riz CID" sheetId="4" r:id="rId1"/>
    <sheet name="MatImpIntdpCrit" sheetId="5" r:id="rId2"/>
    <sheet name="TABLAS PONDERACION" sheetId="6" r:id="rId3"/>
  </sheets>
  <definedNames>
    <definedName name="EVENT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4" l="1"/>
  <c r="G28" i="4"/>
  <c r="C36" i="4" s="1"/>
  <c r="G27" i="4"/>
  <c r="C35" i="4" s="1"/>
  <c r="G26" i="4"/>
  <c r="C34" i="4" s="1"/>
  <c r="F21" i="4"/>
  <c r="D36" i="4" s="1"/>
  <c r="F20" i="4"/>
  <c r="D35" i="4" s="1"/>
  <c r="F19" i="4"/>
  <c r="D34" i="4" s="1"/>
  <c r="G4" i="4" l="1"/>
  <c r="F35" i="4" s="1"/>
  <c r="G35" i="4" s="1"/>
  <c r="G5" i="4"/>
  <c r="F36" i="4" s="1"/>
  <c r="G36" i="4" s="1"/>
  <c r="G6" i="4"/>
  <c r="G7" i="4"/>
  <c r="G8" i="4"/>
  <c r="G9" i="4"/>
  <c r="G10" i="4"/>
  <c r="G11" i="4"/>
  <c r="G3" i="4"/>
  <c r="G34" i="4" s="1"/>
  <c r="I5" i="4" l="1"/>
  <c r="H5" i="4"/>
  <c r="I7" i="4"/>
  <c r="H7" i="4"/>
  <c r="I6" i="4"/>
  <c r="H6" i="4"/>
  <c r="I4" i="4"/>
  <c r="H4" i="4"/>
  <c r="I11" i="4"/>
  <c r="H11" i="4"/>
  <c r="I10" i="4"/>
  <c r="H10" i="4"/>
  <c r="H9" i="4"/>
  <c r="I9" i="4"/>
  <c r="H8" i="4"/>
  <c r="I8" i="4"/>
  <c r="H3" i="4"/>
  <c r="I3" i="4"/>
</calcChain>
</file>

<file path=xl/sharedStrings.xml><?xml version="1.0" encoding="utf-8"?>
<sst xmlns="http://schemas.openxmlformats.org/spreadsheetml/2006/main" count="97" uniqueCount="79">
  <si>
    <t>ACTIVO</t>
  </si>
  <si>
    <t>VALORACIÓN</t>
  </si>
  <si>
    <t>VULNERABILIDADES</t>
  </si>
  <si>
    <t>AMENAZAS</t>
  </si>
  <si>
    <t>EVENTO DE AMENAZA (RIESGO)</t>
  </si>
  <si>
    <t>CONTROLES</t>
  </si>
  <si>
    <t>ID_PROCESO</t>
  </si>
  <si>
    <t>ID_ACTIVO</t>
  </si>
  <si>
    <t>ACTIVO DE INFORMACIÓN</t>
  </si>
  <si>
    <t>C</t>
  </si>
  <si>
    <t>I</t>
  </si>
  <si>
    <t>D</t>
  </si>
  <si>
    <t>TOTAL</t>
  </si>
  <si>
    <t xml:space="preserve"> VALOR 1</t>
  </si>
  <si>
    <t>VALOR 2</t>
  </si>
  <si>
    <t>ESCOM_MAN_01</t>
  </si>
  <si>
    <t>ESCOM_SER_01</t>
  </si>
  <si>
    <t>SERVIDOR</t>
  </si>
  <si>
    <t>FÁCIL ACCESO AL SERVIDOR, UBICACIÓN FÍSICA, FALTA DE CAPACITACIÓN, MALA REFRIGERACIÓN</t>
  </si>
  <si>
    <t>SISMO, ERROR HUMANO, CIBERDELITO,EMPLEADO, INCENDIO</t>
  </si>
  <si>
    <t>DAÑO FÍSICO</t>
  </si>
  <si>
    <t>IMPLEMENTAR CONTROLES DE ACCESO, MONITOREO DE LOS EQUIPOS, CONTROL DE TEMPERATURA, CAPACITACIÓN AL PERSONAL RESPONSABLE</t>
  </si>
  <si>
    <t>ESCOM_MAN_O2</t>
  </si>
  <si>
    <t>MANUALES</t>
  </si>
  <si>
    <t>ESCOM_COP_02</t>
  </si>
  <si>
    <t>Análisis de vulnerabilidades</t>
  </si>
  <si>
    <t>Vulnerabilidades</t>
  </si>
  <si>
    <t>Severidad</t>
  </si>
  <si>
    <t>Exposición</t>
  </si>
  <si>
    <t>Valor3</t>
  </si>
  <si>
    <t>FÁCIL ACCESO AL SERVIDOR</t>
  </si>
  <si>
    <t>Análisis de amenazas</t>
  </si>
  <si>
    <t>Amenazas</t>
  </si>
  <si>
    <t>Eventos de amenaza</t>
  </si>
  <si>
    <t>Capacidad</t>
  </si>
  <si>
    <t>Motivación</t>
  </si>
  <si>
    <t>Valor4</t>
  </si>
  <si>
    <t>ERROR HUMANO</t>
  </si>
  <si>
    <t>DAÑO FISICO</t>
  </si>
  <si>
    <t>Riesgo con control = Amenaza x Vulnerabilidad x Probabilidad x Impacto</t>
  </si>
  <si>
    <t>Amenaza</t>
  </si>
  <si>
    <t>Vulnerabilidad</t>
  </si>
  <si>
    <t>Probabilidad</t>
  </si>
  <si>
    <t>Impacto</t>
  </si>
  <si>
    <t>Riesgo Total</t>
  </si>
  <si>
    <t>IDENTIFICACIÓN DE INFRAESTRUCTURAS CRÍTICAS</t>
  </si>
  <si>
    <t>Área Geográfica</t>
  </si>
  <si>
    <t>Periodo de Afectación</t>
  </si>
  <si>
    <t>IMPACTO</t>
  </si>
  <si>
    <t>Campos Afectados</t>
  </si>
  <si>
    <t>INTERDEPEN-DENCIA</t>
  </si>
  <si>
    <t>CRITICIDAD</t>
  </si>
  <si>
    <t>INFRAESTRUCTURAS CRÍTICAS DETECTADAS</t>
  </si>
  <si>
    <t>GRADO DE CRITICIDAD</t>
  </si>
  <si>
    <t>CONTROLES A IMPLEMENTAR</t>
  </si>
  <si>
    <t>IV</t>
  </si>
  <si>
    <t>AMENAZA</t>
  </si>
  <si>
    <t>PROBABILIDAD</t>
  </si>
  <si>
    <t>Valor</t>
  </si>
  <si>
    <t>Descripción</t>
  </si>
  <si>
    <t>Poca o nula severidad en el grado de vulnerabildad</t>
  </si>
  <si>
    <t>Poca o nula capacidad de realizar el ataque.</t>
  </si>
  <si>
    <t>Probabilidad de ocurrencia</t>
  </si>
  <si>
    <t>Baja, no hay historial y es raro que la amenazas ocurra.</t>
  </si>
  <si>
    <t>Severidad moderada por el grado de vulnerabilidad</t>
  </si>
  <si>
    <t>Capacidad moderada. Se tiene el conocimiento y habilidades para realizar el ataque, pero pocos recursos. O, tiene suficientes recursos, pero conocimiento y habilidades limitadas.</t>
  </si>
  <si>
    <t>Media, se han presentado casos y puede ocurrrir la amenaza.</t>
  </si>
  <si>
    <t>Altamente severo el nivel de vulnerabilidad</t>
  </si>
  <si>
    <t>Altamente capaz. Se tienen los conocimientos, habilidades y recursos necesarios para realizar un ataque.</t>
  </si>
  <si>
    <t>Alta, se han presentado suficientes casos y la amenaza seguramente ocurrirá.</t>
  </si>
  <si>
    <t xml:space="preserve">Poco o nula exposición </t>
  </si>
  <si>
    <t>Poca o nula motivación. No se está inclinado a actuar.</t>
  </si>
  <si>
    <t xml:space="preserve">Nivel moderado de exposición </t>
  </si>
  <si>
    <t>Nivel moderado de motivación. Se actuará si se le pide o provoca.</t>
  </si>
  <si>
    <t>Altamente expuesto</t>
  </si>
  <si>
    <t>Altamente motivado. Casi seguro que intentará el ataque.</t>
  </si>
  <si>
    <t>Al menos un proceso en criticidad en IV o V</t>
  </si>
  <si>
    <t>&lt;-- Solo los que son mayores a IV o V</t>
  </si>
  <si>
    <t>Cantidad de Infraestructuras Afectadas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</si>
</sst>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8">
    <xf numFmtId="0" fontId="0" fillId="0" borderId="0" xfId="0"/>
    <xf numFmtId="0" fontId="0" fillId="0" borderId="0" xfId="0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4" xfId="0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vertical="center" textRotation="90"/>
    </xf>
    <xf numFmtId="0" fontId="3" fillId="0" borderId="17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2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4" fillId="3" borderId="4" xfId="1" applyFill="1" applyBorder="1"/>
    <xf numFmtId="0" fontId="4" fillId="6" borderId="1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4" xfId="0" applyBorder="1" applyAlignment="1">
      <alignment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4" fillId="0" borderId="38" xfId="0" applyFont="1" applyBorder="1"/>
    <xf numFmtId="0" fontId="4" fillId="0" borderId="39" xfId="0" applyFont="1" applyBorder="1"/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20" xfId="0" applyFont="1" applyBorder="1" applyAlignment="1">
      <alignment horizontal="center" vertical="center" textRotation="90"/>
    </xf>
    <xf numFmtId="0" fontId="3" fillId="0" borderId="24" xfId="0" applyFont="1" applyBorder="1" applyAlignment="1">
      <alignment horizontal="center" vertical="center" textRotation="90"/>
    </xf>
    <xf numFmtId="0" fontId="3" fillId="0" borderId="27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zoomScale="142" zoomScaleNormal="90" workbookViewId="0">
      <selection activeCell="I6" sqref="I6"/>
    </sheetView>
  </sheetViews>
  <sheetFormatPr baseColWidth="10" defaultColWidth="11.42578125" defaultRowHeight="15" x14ac:dyDescent="0.25"/>
  <cols>
    <col min="1" max="1" width="16.42578125" customWidth="1"/>
    <col min="2" max="2" width="13.42578125" customWidth="1"/>
    <col min="3" max="3" width="41.5703125" customWidth="1"/>
    <col min="4" max="4" width="21.42578125" customWidth="1"/>
    <col min="5" max="5" width="15.140625" customWidth="1"/>
    <col min="6" max="6" width="14.5703125" customWidth="1"/>
    <col min="7" max="7" width="15.5703125" customWidth="1"/>
    <col min="8" max="9" width="15.7109375" customWidth="1"/>
    <col min="10" max="10" width="56.5703125" customWidth="1"/>
    <col min="11" max="11" width="32.28515625" customWidth="1"/>
    <col min="12" max="12" width="31.7109375" customWidth="1"/>
    <col min="13" max="13" width="55.85546875" customWidth="1"/>
    <col min="14" max="14" width="50.5703125" customWidth="1"/>
  </cols>
  <sheetData>
    <row r="1" spans="1:14" ht="36.75" customHeight="1" x14ac:dyDescent="0.25">
      <c r="A1" s="48" t="s">
        <v>0</v>
      </c>
      <c r="B1" s="48"/>
      <c r="C1" s="48"/>
      <c r="D1" s="48" t="s">
        <v>1</v>
      </c>
      <c r="E1" s="48"/>
      <c r="F1" s="48"/>
      <c r="G1" s="48"/>
      <c r="H1" s="48"/>
      <c r="I1" s="48"/>
      <c r="J1" s="44" t="s">
        <v>2</v>
      </c>
      <c r="K1" s="48" t="s">
        <v>3</v>
      </c>
      <c r="L1" s="48" t="s">
        <v>4</v>
      </c>
      <c r="M1" s="48" t="s">
        <v>5</v>
      </c>
    </row>
    <row r="2" spans="1:14" ht="35.25" customHeight="1" x14ac:dyDescent="0.25">
      <c r="A2" s="7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8" t="s">
        <v>11</v>
      </c>
      <c r="G2" s="9" t="s">
        <v>12</v>
      </c>
      <c r="H2" s="9" t="s">
        <v>13</v>
      </c>
      <c r="I2" s="9" t="s">
        <v>14</v>
      </c>
      <c r="J2" s="45"/>
      <c r="K2" s="49"/>
      <c r="L2" s="49"/>
      <c r="M2" s="48"/>
      <c r="N2" s="1"/>
    </row>
    <row r="3" spans="1:14" ht="30" x14ac:dyDescent="0.25">
      <c r="A3" s="46" t="s">
        <v>15</v>
      </c>
      <c r="B3" s="6" t="s">
        <v>16</v>
      </c>
      <c r="C3" s="6" t="s">
        <v>17</v>
      </c>
      <c r="D3" s="10">
        <v>1</v>
      </c>
      <c r="E3" s="10">
        <v>5</v>
      </c>
      <c r="F3" s="10">
        <v>5</v>
      </c>
      <c r="G3" s="10">
        <f>SUM(D3:F3)</f>
        <v>11</v>
      </c>
      <c r="H3" s="32" t="str">
        <f>IF(G3&gt;10,"Alto",IF(G3&gt;5,"Medio",IF(G3&lt;6,"Bajo","Error")))</f>
        <v>Alto</v>
      </c>
      <c r="I3" s="32" t="str">
        <f>IF(G3&gt;10,"3",IF(G3&gt;5,"2",IF(G3&lt;6,"1","Error")))</f>
        <v>3</v>
      </c>
      <c r="J3" s="33" t="s">
        <v>18</v>
      </c>
      <c r="K3" s="6" t="s">
        <v>19</v>
      </c>
      <c r="L3" s="6" t="s">
        <v>20</v>
      </c>
      <c r="M3" s="6" t="s">
        <v>21</v>
      </c>
    </row>
    <row r="4" spans="1:14" x14ac:dyDescent="0.25">
      <c r="A4" s="47"/>
      <c r="B4" s="6" t="s">
        <v>22</v>
      </c>
      <c r="C4" s="6" t="s">
        <v>23</v>
      </c>
      <c r="D4" s="10"/>
      <c r="E4" s="10"/>
      <c r="F4" s="10"/>
      <c r="G4" s="10">
        <f t="shared" ref="G4:G11" si="0">SUM(D4:F4)</f>
        <v>0</v>
      </c>
      <c r="H4" s="10" t="str">
        <f t="shared" ref="H4:H11" si="1">IF(G4&gt;10,"Alto",IF(G4&gt;5,"Medio",IF(G4&lt;6,"Bajo","Error")))</f>
        <v>Bajo</v>
      </c>
      <c r="I4" s="10" t="str">
        <f t="shared" ref="I4:I11" si="2">IF(G4&gt;10,"3",IF(G4&gt;5,"2",IF(G4&lt;6,"1","Error")))</f>
        <v>1</v>
      </c>
      <c r="J4" s="6"/>
      <c r="K4" s="6"/>
      <c r="L4" s="6"/>
      <c r="M4" s="6"/>
    </row>
    <row r="5" spans="1:14" x14ac:dyDescent="0.25">
      <c r="A5" s="47"/>
      <c r="B5" s="6"/>
      <c r="C5" s="6"/>
      <c r="D5" s="10"/>
      <c r="E5" s="10"/>
      <c r="F5" s="10"/>
      <c r="G5" s="10">
        <f t="shared" si="0"/>
        <v>0</v>
      </c>
      <c r="H5" s="10" t="str">
        <f t="shared" si="1"/>
        <v>Bajo</v>
      </c>
      <c r="I5" s="10" t="str">
        <f t="shared" si="2"/>
        <v>1</v>
      </c>
      <c r="J5" s="6"/>
      <c r="K5" s="6"/>
      <c r="L5" s="6"/>
      <c r="M5" s="6"/>
    </row>
    <row r="6" spans="1:14" x14ac:dyDescent="0.25">
      <c r="A6" s="46" t="s">
        <v>24</v>
      </c>
      <c r="B6" s="6"/>
      <c r="C6" s="6"/>
      <c r="D6" s="10"/>
      <c r="E6" s="10"/>
      <c r="F6" s="10"/>
      <c r="G6" s="10">
        <f t="shared" si="0"/>
        <v>0</v>
      </c>
      <c r="H6" s="10" t="str">
        <f t="shared" si="1"/>
        <v>Bajo</v>
      </c>
      <c r="I6" s="10" t="str">
        <f t="shared" si="2"/>
        <v>1</v>
      </c>
      <c r="J6" s="6"/>
      <c r="K6" s="6"/>
      <c r="L6" s="6"/>
      <c r="M6" s="6"/>
    </row>
    <row r="7" spans="1:14" x14ac:dyDescent="0.25">
      <c r="A7" s="47"/>
      <c r="B7" s="6"/>
      <c r="C7" s="6"/>
      <c r="D7" s="10"/>
      <c r="E7" s="10"/>
      <c r="F7" s="10"/>
      <c r="G7" s="10">
        <f t="shared" si="0"/>
        <v>0</v>
      </c>
      <c r="H7" s="10" t="str">
        <f t="shared" si="1"/>
        <v>Bajo</v>
      </c>
      <c r="I7" s="10" t="str">
        <f t="shared" si="2"/>
        <v>1</v>
      </c>
      <c r="J7" s="6"/>
      <c r="K7" s="6"/>
      <c r="L7" s="6"/>
      <c r="M7" s="6"/>
    </row>
    <row r="8" spans="1:14" x14ac:dyDescent="0.25">
      <c r="A8" s="47"/>
      <c r="B8" s="6"/>
      <c r="C8" s="6"/>
      <c r="D8" s="10"/>
      <c r="E8" s="10"/>
      <c r="F8" s="10"/>
      <c r="G8" s="10">
        <f t="shared" si="0"/>
        <v>0</v>
      </c>
      <c r="H8" s="10" t="str">
        <f t="shared" si="1"/>
        <v>Bajo</v>
      </c>
      <c r="I8" s="10" t="str">
        <f t="shared" si="2"/>
        <v>1</v>
      </c>
      <c r="J8" s="6"/>
      <c r="K8" s="6"/>
      <c r="L8" s="6"/>
      <c r="M8" s="6"/>
    </row>
    <row r="9" spans="1:14" x14ac:dyDescent="0.25">
      <c r="A9" s="43"/>
      <c r="B9" s="6"/>
      <c r="C9" s="6"/>
      <c r="D9" s="10"/>
      <c r="E9" s="10"/>
      <c r="F9" s="10"/>
      <c r="G9" s="10">
        <f t="shared" si="0"/>
        <v>0</v>
      </c>
      <c r="H9" s="10" t="str">
        <f t="shared" si="1"/>
        <v>Bajo</v>
      </c>
      <c r="I9" s="10" t="str">
        <f t="shared" si="2"/>
        <v>1</v>
      </c>
      <c r="J9" s="6"/>
      <c r="K9" s="6"/>
      <c r="L9" s="6"/>
      <c r="M9" s="6"/>
    </row>
    <row r="10" spans="1:14" x14ac:dyDescent="0.25">
      <c r="A10" s="43"/>
      <c r="B10" s="6"/>
      <c r="C10" s="6"/>
      <c r="D10" s="10"/>
      <c r="E10" s="10"/>
      <c r="F10" s="10"/>
      <c r="G10" s="10">
        <f t="shared" si="0"/>
        <v>0</v>
      </c>
      <c r="H10" s="10" t="str">
        <f t="shared" si="1"/>
        <v>Bajo</v>
      </c>
      <c r="I10" s="10" t="str">
        <f t="shared" si="2"/>
        <v>1</v>
      </c>
      <c r="J10" s="6"/>
      <c r="K10" s="6"/>
      <c r="L10" s="6"/>
      <c r="M10" s="6"/>
    </row>
    <row r="11" spans="1:14" x14ac:dyDescent="0.25">
      <c r="A11" s="43"/>
      <c r="B11" s="6"/>
      <c r="C11" s="6"/>
      <c r="D11" s="10"/>
      <c r="E11" s="10"/>
      <c r="F11" s="10"/>
      <c r="G11" s="10">
        <f t="shared" si="0"/>
        <v>0</v>
      </c>
      <c r="H11" s="10" t="str">
        <f t="shared" si="1"/>
        <v>Bajo</v>
      </c>
      <c r="I11" s="10" t="str">
        <f t="shared" si="2"/>
        <v>1</v>
      </c>
      <c r="J11" s="6"/>
      <c r="K11" s="6"/>
      <c r="L11" s="6"/>
      <c r="M11" s="6"/>
    </row>
    <row r="17" spans="3:7" x14ac:dyDescent="0.25">
      <c r="C17" s="40" t="s">
        <v>25</v>
      </c>
      <c r="D17" s="41"/>
      <c r="E17" s="41"/>
      <c r="F17" s="42"/>
    </row>
    <row r="18" spans="3:7" x14ac:dyDescent="0.25">
      <c r="C18" s="18" t="s">
        <v>26</v>
      </c>
      <c r="D18" s="13" t="s">
        <v>27</v>
      </c>
      <c r="E18" s="13" t="s">
        <v>28</v>
      </c>
      <c r="F18" s="14" t="s">
        <v>29</v>
      </c>
    </row>
    <row r="19" spans="3:7" x14ac:dyDescent="0.25">
      <c r="C19" s="33" t="s">
        <v>30</v>
      </c>
      <c r="D19" s="16">
        <v>2</v>
      </c>
      <c r="E19" s="16">
        <v>3</v>
      </c>
      <c r="F19" s="17">
        <f t="shared" ref="F19:F21" si="3">D19+E19-1</f>
        <v>4</v>
      </c>
    </row>
    <row r="20" spans="3:7" x14ac:dyDescent="0.25">
      <c r="C20" s="15"/>
      <c r="D20" s="16"/>
      <c r="E20" s="16"/>
      <c r="F20" s="17">
        <f t="shared" si="3"/>
        <v>-1</v>
      </c>
    </row>
    <row r="21" spans="3:7" x14ac:dyDescent="0.25">
      <c r="C21" s="15"/>
      <c r="D21" s="16"/>
      <c r="E21" s="16"/>
      <c r="F21" s="17">
        <f t="shared" si="3"/>
        <v>-1</v>
      </c>
    </row>
    <row r="23" spans="3:7" ht="15.75" thickBot="1" x14ac:dyDescent="0.3"/>
    <row r="24" spans="3:7" x14ac:dyDescent="0.25">
      <c r="C24" s="34" t="s">
        <v>31</v>
      </c>
      <c r="D24" s="35"/>
      <c r="E24" s="35"/>
      <c r="F24" s="35"/>
      <c r="G24" s="36"/>
    </row>
    <row r="25" spans="3:7" x14ac:dyDescent="0.25">
      <c r="C25" s="12" t="s">
        <v>32</v>
      </c>
      <c r="D25" s="13" t="s">
        <v>33</v>
      </c>
      <c r="E25" s="18" t="s">
        <v>34</v>
      </c>
      <c r="F25" s="18" t="s">
        <v>35</v>
      </c>
      <c r="G25" s="28" t="s">
        <v>36</v>
      </c>
    </row>
    <row r="26" spans="3:7" x14ac:dyDescent="0.25">
      <c r="C26" s="6" t="s">
        <v>37</v>
      </c>
      <c r="D26" s="6" t="s">
        <v>38</v>
      </c>
      <c r="E26" s="16">
        <v>1</v>
      </c>
      <c r="F26" s="16">
        <v>2</v>
      </c>
      <c r="G26" s="17">
        <f t="shared" ref="G26:G28" si="4">E26+F26-1</f>
        <v>2</v>
      </c>
    </row>
    <row r="27" spans="3:7" x14ac:dyDescent="0.25">
      <c r="C27" s="29"/>
      <c r="D27" s="29"/>
      <c r="E27" s="16"/>
      <c r="F27" s="16"/>
      <c r="G27" s="17">
        <f t="shared" si="4"/>
        <v>-1</v>
      </c>
    </row>
    <row r="28" spans="3:7" x14ac:dyDescent="0.25">
      <c r="C28" s="29"/>
      <c r="D28" s="29"/>
      <c r="E28" s="16"/>
      <c r="F28" s="16"/>
      <c r="G28" s="17">
        <f t="shared" si="4"/>
        <v>-1</v>
      </c>
    </row>
    <row r="31" spans="3:7" ht="15.75" thickBot="1" x14ac:dyDescent="0.3"/>
    <row r="32" spans="3:7" x14ac:dyDescent="0.25">
      <c r="C32" s="37" t="s">
        <v>39</v>
      </c>
      <c r="D32" s="38"/>
      <c r="E32" s="38"/>
      <c r="F32" s="38"/>
      <c r="G32" s="39"/>
    </row>
    <row r="33" spans="3:7" x14ac:dyDescent="0.25">
      <c r="C33" s="12" t="s">
        <v>40</v>
      </c>
      <c r="D33" s="13" t="s">
        <v>41</v>
      </c>
      <c r="E33" s="13" t="s">
        <v>42</v>
      </c>
      <c r="F33" s="13" t="s">
        <v>43</v>
      </c>
      <c r="G33" s="14" t="s">
        <v>44</v>
      </c>
    </row>
    <row r="34" spans="3:7" x14ac:dyDescent="0.25">
      <c r="C34" s="30">
        <f>G26</f>
        <v>2</v>
      </c>
      <c r="D34" s="31">
        <f>F19</f>
        <v>4</v>
      </c>
      <c r="E34" s="16">
        <v>2</v>
      </c>
      <c r="F34" s="31">
        <f>G3</f>
        <v>11</v>
      </c>
      <c r="G34" s="17">
        <f>C34*D34*E34*F34</f>
        <v>176</v>
      </c>
    </row>
    <row r="35" spans="3:7" x14ac:dyDescent="0.25">
      <c r="C35" s="30">
        <f t="shared" ref="C35:C36" si="5">G27</f>
        <v>-1</v>
      </c>
      <c r="D35" s="31">
        <f t="shared" ref="D35:D36" si="6">F20</f>
        <v>-1</v>
      </c>
      <c r="E35" s="16"/>
      <c r="F35" s="31">
        <f t="shared" ref="F35:F36" si="7">G4</f>
        <v>0</v>
      </c>
      <c r="G35" s="17">
        <f t="shared" ref="G35:G36" si="8">C35*D35*E35*F35</f>
        <v>0</v>
      </c>
    </row>
    <row r="36" spans="3:7" x14ac:dyDescent="0.25">
      <c r="C36" s="30">
        <f t="shared" si="5"/>
        <v>-1</v>
      </c>
      <c r="D36" s="31">
        <f t="shared" si="6"/>
        <v>-1</v>
      </c>
      <c r="E36" s="16"/>
      <c r="F36" s="31">
        <f t="shared" si="7"/>
        <v>0</v>
      </c>
      <c r="G36" s="17">
        <f t="shared" si="8"/>
        <v>0</v>
      </c>
    </row>
  </sheetData>
  <mergeCells count="12">
    <mergeCell ref="K1:K2"/>
    <mergeCell ref="L1:L2"/>
    <mergeCell ref="M1:M2"/>
    <mergeCell ref="A1:C1"/>
    <mergeCell ref="D1:I1"/>
    <mergeCell ref="C24:G24"/>
    <mergeCell ref="C32:G32"/>
    <mergeCell ref="C17:F17"/>
    <mergeCell ref="A9:A11"/>
    <mergeCell ref="J1:J2"/>
    <mergeCell ref="A3:A5"/>
    <mergeCell ref="A6:A8"/>
  </mergeCells>
  <dataValidations count="1">
    <dataValidation type="list" allowBlank="1" showInputMessage="1" showErrorMessage="1" sqref="D27:D28" xr:uid="{00000000-0002-0000-0000-000000000000}">
      <formula1>EVENTO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tabSelected="1" zoomScale="112" zoomScaleNormal="100" workbookViewId="0">
      <selection activeCell="G3" sqref="G3"/>
    </sheetView>
  </sheetViews>
  <sheetFormatPr baseColWidth="10" defaultColWidth="11.42578125" defaultRowHeight="15" x14ac:dyDescent="0.25"/>
  <cols>
    <col min="1" max="1" width="16.42578125" customWidth="1"/>
    <col min="2" max="2" width="13.42578125" customWidth="1"/>
    <col min="3" max="3" width="39.140625" customWidth="1"/>
    <col min="4" max="6" width="13.140625" customWidth="1"/>
    <col min="7" max="7" width="15.5703125" customWidth="1"/>
    <col min="8" max="9" width="15.7109375" customWidth="1"/>
    <col min="10" max="10" width="20.42578125" bestFit="1" customWidth="1"/>
    <col min="11" max="11" width="25.28515625" bestFit="1" customWidth="1"/>
    <col min="12" max="12" width="40.85546875" customWidth="1"/>
    <col min="13" max="13" width="26.85546875" customWidth="1"/>
    <col min="14" max="14" width="35.42578125" customWidth="1"/>
    <col min="15" max="15" width="17.28515625" customWidth="1"/>
  </cols>
  <sheetData>
    <row r="1" spans="1:15" ht="36.75" customHeight="1" x14ac:dyDescent="0.25">
      <c r="A1" s="48" t="s">
        <v>0</v>
      </c>
      <c r="B1" s="48"/>
      <c r="C1" s="48"/>
      <c r="D1" s="52" t="s">
        <v>1</v>
      </c>
      <c r="E1" s="53"/>
      <c r="F1" s="53"/>
      <c r="G1" s="53"/>
      <c r="H1" s="53"/>
      <c r="I1" s="53"/>
      <c r="J1" s="54"/>
      <c r="L1" s="50" t="s">
        <v>45</v>
      </c>
      <c r="M1" s="50"/>
      <c r="N1" s="50"/>
      <c r="O1" s="1" t="s">
        <v>77</v>
      </c>
    </row>
    <row r="2" spans="1:15" ht="64.5" customHeight="1" x14ac:dyDescent="0.25">
      <c r="A2" s="7" t="s">
        <v>6</v>
      </c>
      <c r="B2" s="2" t="s">
        <v>7</v>
      </c>
      <c r="C2" s="2" t="s">
        <v>8</v>
      </c>
      <c r="D2" s="8" t="s">
        <v>46</v>
      </c>
      <c r="E2" s="8" t="s">
        <v>47</v>
      </c>
      <c r="F2" s="9" t="s">
        <v>48</v>
      </c>
      <c r="G2" s="8" t="s">
        <v>78</v>
      </c>
      <c r="H2" s="8" t="s">
        <v>49</v>
      </c>
      <c r="I2" s="9" t="s">
        <v>50</v>
      </c>
      <c r="J2" s="9" t="s">
        <v>51</v>
      </c>
      <c r="K2" s="1"/>
      <c r="L2" s="2" t="s">
        <v>52</v>
      </c>
      <c r="M2" s="3" t="s">
        <v>53</v>
      </c>
      <c r="N2" s="2" t="s">
        <v>54</v>
      </c>
    </row>
    <row r="3" spans="1:15" ht="30" x14ac:dyDescent="0.25">
      <c r="A3" s="46" t="s">
        <v>15</v>
      </c>
      <c r="B3" s="6" t="s">
        <v>16</v>
      </c>
      <c r="C3" s="6" t="s">
        <v>17</v>
      </c>
      <c r="D3" s="4">
        <v>2</v>
      </c>
      <c r="E3" s="4">
        <v>1</v>
      </c>
      <c r="F3" s="4">
        <v>2</v>
      </c>
      <c r="G3" s="4">
        <v>2</v>
      </c>
      <c r="H3" s="4">
        <v>1</v>
      </c>
      <c r="I3" s="4">
        <v>2</v>
      </c>
      <c r="J3" s="5" t="s">
        <v>55</v>
      </c>
      <c r="K3" s="1" t="s">
        <v>76</v>
      </c>
      <c r="L3" s="6"/>
      <c r="M3" s="5"/>
      <c r="N3" s="6"/>
    </row>
    <row r="4" spans="1:15" x14ac:dyDescent="0.25">
      <c r="A4" s="47"/>
      <c r="B4" s="6" t="s">
        <v>22</v>
      </c>
      <c r="C4" s="6" t="s">
        <v>23</v>
      </c>
      <c r="D4" s="6"/>
      <c r="E4" s="6"/>
      <c r="F4" s="6"/>
      <c r="G4" s="6"/>
      <c r="H4" s="6"/>
      <c r="I4" s="6"/>
      <c r="J4" s="11"/>
      <c r="L4" s="6"/>
      <c r="M4" s="6"/>
      <c r="N4" s="6"/>
    </row>
    <row r="5" spans="1:15" x14ac:dyDescent="0.25">
      <c r="A5" s="47"/>
      <c r="B5" s="6"/>
      <c r="C5" s="6"/>
      <c r="D5" s="6"/>
      <c r="E5" s="6"/>
      <c r="F5" s="6"/>
      <c r="G5" s="6"/>
      <c r="H5" s="6"/>
      <c r="I5" s="6"/>
      <c r="J5" s="11"/>
      <c r="L5" s="6"/>
      <c r="M5" s="6"/>
      <c r="N5" s="6"/>
    </row>
    <row r="6" spans="1:15" x14ac:dyDescent="0.25">
      <c r="A6" s="46"/>
      <c r="B6" s="6"/>
      <c r="C6" s="6"/>
      <c r="D6" s="6"/>
      <c r="E6" s="6"/>
      <c r="F6" s="6"/>
      <c r="G6" s="6"/>
      <c r="H6" s="6"/>
      <c r="I6" s="6"/>
      <c r="J6" s="6"/>
      <c r="L6" s="6"/>
      <c r="M6" s="6"/>
      <c r="N6" s="6"/>
    </row>
    <row r="7" spans="1:15" x14ac:dyDescent="0.25">
      <c r="A7" s="47"/>
      <c r="B7" s="6"/>
      <c r="C7" s="6"/>
      <c r="D7" s="6"/>
      <c r="E7" s="6"/>
      <c r="F7" s="6"/>
      <c r="G7" s="6"/>
      <c r="H7" s="6"/>
      <c r="I7" s="6"/>
      <c r="J7" s="6"/>
      <c r="L7" s="6"/>
      <c r="M7" s="6"/>
      <c r="N7" s="6"/>
    </row>
    <row r="8" spans="1:15" x14ac:dyDescent="0.25">
      <c r="A8" s="47"/>
      <c r="B8" s="6"/>
      <c r="C8" s="6"/>
      <c r="D8" s="6"/>
      <c r="E8" s="6"/>
      <c r="F8" s="6"/>
      <c r="G8" s="6"/>
      <c r="H8" s="6"/>
      <c r="I8" s="6"/>
      <c r="J8" s="6"/>
      <c r="L8" s="6"/>
      <c r="M8" s="6"/>
      <c r="N8" s="6"/>
    </row>
    <row r="9" spans="1:15" x14ac:dyDescent="0.25">
      <c r="A9" s="46"/>
      <c r="B9" s="6"/>
      <c r="C9" s="6"/>
      <c r="D9" s="6"/>
      <c r="E9" s="6"/>
      <c r="F9" s="6"/>
      <c r="G9" s="6"/>
      <c r="H9" s="6"/>
      <c r="I9" s="6"/>
      <c r="J9" s="6"/>
      <c r="L9" s="6"/>
      <c r="M9" s="6"/>
      <c r="N9" s="6"/>
    </row>
    <row r="10" spans="1:15" x14ac:dyDescent="0.25">
      <c r="A10" s="47"/>
      <c r="B10" s="6"/>
      <c r="C10" s="6"/>
      <c r="D10" s="6"/>
      <c r="E10" s="6"/>
      <c r="F10" s="6"/>
      <c r="G10" s="6"/>
      <c r="H10" s="6"/>
      <c r="I10" s="6"/>
      <c r="J10" s="6"/>
      <c r="L10" s="6"/>
      <c r="M10" s="6"/>
      <c r="N10" s="6"/>
    </row>
    <row r="11" spans="1:15" x14ac:dyDescent="0.25">
      <c r="A11" s="51"/>
      <c r="B11" s="6"/>
      <c r="C11" s="6"/>
      <c r="D11" s="6"/>
      <c r="E11" s="6"/>
      <c r="F11" s="6"/>
      <c r="G11" s="6"/>
      <c r="H11" s="6"/>
      <c r="I11" s="6"/>
      <c r="J11" s="6"/>
      <c r="L11" s="6"/>
      <c r="M11" s="6"/>
      <c r="N11" s="6"/>
    </row>
  </sheetData>
  <mergeCells count="6">
    <mergeCell ref="L1:N1"/>
    <mergeCell ref="A9:A11"/>
    <mergeCell ref="A1:C1"/>
    <mergeCell ref="D1:J1"/>
    <mergeCell ref="A3:A5"/>
    <mergeCell ref="A6:A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U11"/>
  <sheetViews>
    <sheetView topLeftCell="H1" zoomScale="148" workbookViewId="0">
      <selection activeCell="K8" sqref="K8:N8"/>
    </sheetView>
  </sheetViews>
  <sheetFormatPr baseColWidth="10" defaultColWidth="11.42578125" defaultRowHeight="15" x14ac:dyDescent="0.25"/>
  <sheetData>
    <row r="3" spans="2:21" x14ac:dyDescent="0.25">
      <c r="C3" s="55" t="s">
        <v>2</v>
      </c>
      <c r="D3" s="55"/>
      <c r="E3" s="55"/>
      <c r="F3" s="55"/>
      <c r="J3" s="55" t="s">
        <v>56</v>
      </c>
      <c r="K3" s="55"/>
      <c r="L3" s="55"/>
      <c r="M3" s="55"/>
      <c r="N3" s="55"/>
      <c r="Q3" s="55" t="s">
        <v>57</v>
      </c>
      <c r="R3" s="55"/>
      <c r="S3" s="55"/>
      <c r="T3" s="55"/>
      <c r="U3" s="55"/>
    </row>
    <row r="4" spans="2:21" ht="15.75" thickBot="1" x14ac:dyDescent="0.3"/>
    <row r="5" spans="2:21" ht="15.75" thickBot="1" x14ac:dyDescent="0.3">
      <c r="B5" s="19"/>
      <c r="C5" s="20" t="s">
        <v>58</v>
      </c>
      <c r="D5" s="72"/>
      <c r="E5" s="72"/>
      <c r="F5" s="73"/>
      <c r="I5" s="19"/>
      <c r="J5" s="20" t="s">
        <v>58</v>
      </c>
      <c r="K5" s="67" t="s">
        <v>59</v>
      </c>
      <c r="L5" s="68"/>
      <c r="M5" s="68"/>
      <c r="N5" s="69"/>
      <c r="P5" s="24"/>
      <c r="Q5" s="25" t="s">
        <v>58</v>
      </c>
      <c r="R5" s="60" t="s">
        <v>59</v>
      </c>
      <c r="S5" s="35"/>
      <c r="T5" s="35"/>
      <c r="U5" s="36"/>
    </row>
    <row r="6" spans="2:21" ht="30" customHeight="1" x14ac:dyDescent="0.25">
      <c r="B6" s="56" t="s">
        <v>27</v>
      </c>
      <c r="C6" s="21">
        <v>1</v>
      </c>
      <c r="D6" s="74" t="s">
        <v>60</v>
      </c>
      <c r="E6" s="74"/>
      <c r="F6" s="75"/>
      <c r="I6" s="56" t="s">
        <v>34</v>
      </c>
      <c r="J6" s="21">
        <v>1</v>
      </c>
      <c r="K6" s="59" t="s">
        <v>61</v>
      </c>
      <c r="L6" s="59"/>
      <c r="M6" s="59"/>
      <c r="N6" s="59"/>
      <c r="P6" s="56" t="s">
        <v>62</v>
      </c>
      <c r="Q6" s="26">
        <v>1</v>
      </c>
      <c r="R6" s="61" t="s">
        <v>63</v>
      </c>
      <c r="S6" s="62"/>
      <c r="T6" s="62"/>
      <c r="U6" s="63"/>
    </row>
    <row r="7" spans="2:21" ht="51" customHeight="1" x14ac:dyDescent="0.25">
      <c r="B7" s="57"/>
      <c r="C7" s="22">
        <v>2</v>
      </c>
      <c r="D7" s="76" t="s">
        <v>64</v>
      </c>
      <c r="E7" s="76"/>
      <c r="F7" s="77"/>
      <c r="I7" s="57"/>
      <c r="J7" s="22">
        <v>2</v>
      </c>
      <c r="K7" s="59" t="s">
        <v>65</v>
      </c>
      <c r="L7" s="59"/>
      <c r="M7" s="59"/>
      <c r="N7" s="59"/>
      <c r="P7" s="57"/>
      <c r="Q7" s="26">
        <v>2</v>
      </c>
      <c r="R7" s="61" t="s">
        <v>66</v>
      </c>
      <c r="S7" s="62"/>
      <c r="T7" s="62"/>
      <c r="U7" s="63"/>
    </row>
    <row r="8" spans="2:21" ht="32.1" customHeight="1" thickBot="1" x14ac:dyDescent="0.3">
      <c r="B8" s="58"/>
      <c r="C8" s="23">
        <v>3</v>
      </c>
      <c r="D8" s="70" t="s">
        <v>67</v>
      </c>
      <c r="E8" s="70"/>
      <c r="F8" s="71"/>
      <c r="I8" s="58"/>
      <c r="J8" s="23">
        <v>3</v>
      </c>
      <c r="K8" s="59" t="s">
        <v>68</v>
      </c>
      <c r="L8" s="59"/>
      <c r="M8" s="59"/>
      <c r="N8" s="59"/>
      <c r="P8" s="58"/>
      <c r="Q8" s="27">
        <v>3</v>
      </c>
      <c r="R8" s="64" t="s">
        <v>69</v>
      </c>
      <c r="S8" s="65"/>
      <c r="T8" s="65"/>
      <c r="U8" s="66"/>
    </row>
    <row r="9" spans="2:21" ht="23.45" customHeight="1" x14ac:dyDescent="0.25">
      <c r="B9" s="56" t="s">
        <v>28</v>
      </c>
      <c r="C9" s="21">
        <v>1</v>
      </c>
      <c r="D9" s="74" t="s">
        <v>70</v>
      </c>
      <c r="E9" s="74"/>
      <c r="F9" s="75"/>
      <c r="I9" s="56" t="s">
        <v>35</v>
      </c>
      <c r="J9" s="21">
        <v>1</v>
      </c>
      <c r="K9" s="59" t="s">
        <v>71</v>
      </c>
      <c r="L9" s="59"/>
      <c r="M9" s="59"/>
      <c r="N9" s="59"/>
    </row>
    <row r="10" spans="2:21" ht="22.5" customHeight="1" x14ac:dyDescent="0.25">
      <c r="B10" s="57"/>
      <c r="C10" s="22">
        <v>2</v>
      </c>
      <c r="D10" s="76" t="s">
        <v>72</v>
      </c>
      <c r="E10" s="76"/>
      <c r="F10" s="77"/>
      <c r="I10" s="57"/>
      <c r="J10" s="22">
        <v>2</v>
      </c>
      <c r="K10" s="59" t="s">
        <v>73</v>
      </c>
      <c r="L10" s="59"/>
      <c r="M10" s="59"/>
      <c r="N10" s="59"/>
    </row>
    <row r="11" spans="2:21" ht="18.75" thickBot="1" x14ac:dyDescent="0.3">
      <c r="B11" s="58"/>
      <c r="C11" s="23">
        <v>3</v>
      </c>
      <c r="D11" s="70" t="s">
        <v>74</v>
      </c>
      <c r="E11" s="70"/>
      <c r="F11" s="71"/>
      <c r="I11" s="58"/>
      <c r="J11" s="23">
        <v>3</v>
      </c>
      <c r="K11" s="59" t="s">
        <v>75</v>
      </c>
      <c r="L11" s="59"/>
      <c r="M11" s="59"/>
      <c r="N11" s="59"/>
    </row>
  </sheetData>
  <mergeCells count="26">
    <mergeCell ref="D11:F11"/>
    <mergeCell ref="D5:F5"/>
    <mergeCell ref="B6:B8"/>
    <mergeCell ref="D6:F6"/>
    <mergeCell ref="D7:F7"/>
    <mergeCell ref="D8:F8"/>
    <mergeCell ref="B9:B11"/>
    <mergeCell ref="D9:F9"/>
    <mergeCell ref="D10:F10"/>
    <mergeCell ref="C3:F3"/>
    <mergeCell ref="K5:N5"/>
    <mergeCell ref="I6:I8"/>
    <mergeCell ref="K6:N6"/>
    <mergeCell ref="K7:N7"/>
    <mergeCell ref="K8:N8"/>
    <mergeCell ref="J3:N3"/>
    <mergeCell ref="Q3:U3"/>
    <mergeCell ref="I9:I11"/>
    <mergeCell ref="K9:N9"/>
    <mergeCell ref="K10:N10"/>
    <mergeCell ref="K11:N11"/>
    <mergeCell ref="R5:U5"/>
    <mergeCell ref="P6:P8"/>
    <mergeCell ref="R6:U6"/>
    <mergeCell ref="R7:U7"/>
    <mergeCell ref="R8:U8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EFA26709C35D4B8189EF92BF6DA30F" ma:contentTypeVersion="3" ma:contentTypeDescription="Create a new document." ma:contentTypeScope="" ma:versionID="ae23f86105da9e3bdf8f1e27a8717710">
  <xsd:schema xmlns:xsd="http://www.w3.org/2001/XMLSchema" xmlns:xs="http://www.w3.org/2001/XMLSchema" xmlns:p="http://schemas.microsoft.com/office/2006/metadata/properties" xmlns:ns2="c10ec908-1c8e-42a5-935e-4e79d67611b6" targetNamespace="http://schemas.microsoft.com/office/2006/metadata/properties" ma:root="true" ma:fieldsID="3aa7025e187a262bbd38d8a25996876a" ns2:_="">
    <xsd:import namespace="c10ec908-1c8e-42a5-935e-4e79d67611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ec908-1c8e-42a5-935e-4e79d6761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A521A6-15EA-4A5E-8A60-AD88E4EB38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3B8EF8-3671-481C-AA55-0C0DA7E2E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ec908-1c8e-42a5-935e-4e79d67611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1278F3-CD63-4FC0-90DD-852EEAB6D9F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CID</vt:lpstr>
      <vt:lpstr>MatImpIntdpCrit</vt:lpstr>
      <vt:lpstr>TABLAS PONDERACION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Xochitl</dc:creator>
  <cp:keywords/>
  <dc:description/>
  <cp:lastModifiedBy>Gael Alejandro Marquez Rodriguez</cp:lastModifiedBy>
  <cp:revision/>
  <dcterms:created xsi:type="dcterms:W3CDTF">2014-09-22T16:10:07Z</dcterms:created>
  <dcterms:modified xsi:type="dcterms:W3CDTF">2026-06-04T23:53:12Z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0x01010003EFA26709C35D4B8189EF92BF6DA30F</vt:lpwstr>
  </property>
</Properties>
</file>